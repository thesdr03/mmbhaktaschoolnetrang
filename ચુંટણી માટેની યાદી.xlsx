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<sst xmlns="http://schemas.openxmlformats.org/spreadsheetml/2006/main" count="322" uniqueCount="209">
  <si>
    <t>શ્રીમતી એમ.એમ.ભક્ત હાઇસ્કૂલ,નેત્રંગ,તા.નેત્રંગ,જિ.ભરૂચ</t>
  </si>
  <si>
    <t>ચુંટણી માટે કર્મચારીઓની યાદી</t>
  </si>
  <si>
    <t>ક્રમ</t>
  </si>
  <si>
    <t>તાલુકો</t>
  </si>
  <si>
    <t>શિક્ષક નું નામ (અંગ્રેજી)</t>
  </si>
  <si>
    <t>શિક્ષક નું નામ (ગુજરાતી)</t>
  </si>
  <si>
    <t>હોદ્દો</t>
  </si>
  <si>
    <t>જાતિ</t>
  </si>
  <si>
    <t>સરનામુ</t>
  </si>
  <si>
    <t>મોબાઈલ</t>
  </si>
  <si>
    <t>બઁક અકાઉન્ટ નંબર</t>
  </si>
  <si>
    <t>બેંક નું નામ</t>
  </si>
  <si>
    <t>I.F.S.C કોડ</t>
  </si>
  <si>
    <t>પાન નંબર</t>
  </si>
  <si>
    <t>આધાર કાર્ડ</t>
  </si>
  <si>
    <t>ચુટણી કાર્ડ</t>
  </si>
  <si>
    <t>જન્મ તારીખ</t>
  </si>
  <si>
    <t>ઉમર</t>
  </si>
  <si>
    <t>નેત્રંગ</t>
  </si>
  <si>
    <t>SHRI RATANBHAI L.VASAVA</t>
  </si>
  <si>
    <t>શ્રી રતનભાઈ એલ. વસાવા</t>
  </si>
  <si>
    <t>આચાર્ય</t>
  </si>
  <si>
    <t>પુરુષ</t>
  </si>
  <si>
    <t>ધરતી નગર,મુ.પો.તા,નેત્રંગ,જિ.ભરૂચ</t>
  </si>
  <si>
    <t>99791 24440</t>
  </si>
  <si>
    <t>Bank of Baroda</t>
  </si>
  <si>
    <t>BARB0NETRAN</t>
  </si>
  <si>
    <t>AARPV5209K</t>
  </si>
  <si>
    <t>HRK3656873</t>
  </si>
  <si>
    <t>01-06-1970</t>
  </si>
  <si>
    <t>SMT. BHAVNABEN T.DESAI</t>
  </si>
  <si>
    <t>શ્રીમતી ભાવનાબેન ટી.દેસાઈ</t>
  </si>
  <si>
    <t>સુપરવાઇઝર</t>
  </si>
  <si>
    <t>સ્ત્રી</t>
  </si>
  <si>
    <t>જીન બજાર, મુ.પો.તા,નેત્રંગ,જિ.ભરૂચ</t>
  </si>
  <si>
    <t>99092 22657</t>
  </si>
  <si>
    <t>ACVPD5394D</t>
  </si>
  <si>
    <t>2319 7450 1829</t>
  </si>
  <si>
    <t>HRK1280825</t>
  </si>
  <si>
    <t>06/05/1969</t>
  </si>
  <si>
    <t>SHRI KANTILAL S.PATEL</t>
  </si>
  <si>
    <t>શ્રી કાંતીભાઈ એસ.પટેલ</t>
  </si>
  <si>
    <t>મા.મ.શિક્ષક</t>
  </si>
  <si>
    <t>શ્રી દત્ત કો.ઓ.સોસાયટી (રાજપારડી રોડ), મુ.પો.તા.નેત્રંગ,જિ.ભરૂચ</t>
  </si>
  <si>
    <t>94292 83866</t>
  </si>
  <si>
    <t>Aqypp7366c</t>
  </si>
  <si>
    <t>NHD1807429</t>
  </si>
  <si>
    <t>22/12/1973</t>
  </si>
  <si>
    <t>SHRI SURESHBHAI D.VASAVA</t>
  </si>
  <si>
    <t>શ્રી સુરેશભાઈ ડી.વસાવા</t>
  </si>
  <si>
    <t>87584 60917</t>
  </si>
  <si>
    <t>AFMPV9900R</t>
  </si>
  <si>
    <t>SOE1623974</t>
  </si>
  <si>
    <t>01-09-1976</t>
  </si>
  <si>
    <t>SHRI RAJESHBHAI M.PATEL</t>
  </si>
  <si>
    <t>શ્રી રાજેશભાઈ એમ.પટેલ</t>
  </si>
  <si>
    <t>99785 65718</t>
  </si>
  <si>
    <t>BCMPP5716R</t>
  </si>
  <si>
    <t>GJ/26/180/084490</t>
  </si>
  <si>
    <t>02/06/1973</t>
  </si>
  <si>
    <t>SHRI PRAKASHBHAI D.CHAUDHARI</t>
  </si>
  <si>
    <t>શ્રી પ્રકાશભાઇ ડી. ચૌધરી</t>
  </si>
  <si>
    <t>મુ.પો. આંબા, તા.માંડવી, જિ.સુરત</t>
  </si>
  <si>
    <t>96626 42041</t>
  </si>
  <si>
    <t>AIJPC9956E</t>
  </si>
  <si>
    <t>GJ/25/166/105050</t>
  </si>
  <si>
    <t>01/06/1971</t>
  </si>
  <si>
    <t>SMT.RINKALBEN C.CHAUDHARI</t>
  </si>
  <si>
    <t>શ્રીમતી રીંકલબેન સી. ચૌધરી</t>
  </si>
  <si>
    <t>મુ.પો.તા.માંડવી, જિ.સુરત</t>
  </si>
  <si>
    <t>97124 46214</t>
  </si>
  <si>
    <t>CNOPC7435E</t>
  </si>
  <si>
    <t>UGV1707090</t>
  </si>
  <si>
    <t>03/08/1995</t>
  </si>
  <si>
    <t>SMT.DIMPALBEN G.VANIYA</t>
  </si>
  <si>
    <t>શ્રીમતી ડિંપલબેન જી.વાણીયા</t>
  </si>
  <si>
    <t>ધરતી નગર, મુ.પો.તા,નેત્રંગ,જિ.ભરૂચ</t>
  </si>
  <si>
    <t>98988 44936</t>
  </si>
  <si>
    <t>CEIPV8816H</t>
  </si>
  <si>
    <t>BWP2539427</t>
  </si>
  <si>
    <t>24/05/1985</t>
  </si>
  <si>
    <t>SMT.PURVIBEN K. DESAI</t>
  </si>
  <si>
    <t>શ્રીમતી પૂર્વીબેન કે.દેસાઇ</t>
  </si>
  <si>
    <t>વેલકમનગર, ગડખોલ પાટીયા, તા.અંક્લેશ્વર,જિ.ભરૂચ</t>
  </si>
  <si>
    <t>94286 89522</t>
  </si>
  <si>
    <t>BARB0SATBRO</t>
  </si>
  <si>
    <t>AFHPD9279A</t>
  </si>
  <si>
    <t>DKQ2860294</t>
  </si>
  <si>
    <t>20/11/1973</t>
  </si>
  <si>
    <t>SHRI BALVANTBHAI T.CHAUDHARI</t>
  </si>
  <si>
    <t>શ્રી બળવંતભાઈ ટી.ચૌધરી</t>
  </si>
  <si>
    <t>મુ.પો.કમલાપોર આશ્રમ ફળિયુ, તા.માંડવી,જિ.સુરત</t>
  </si>
  <si>
    <t>97279 03801</t>
  </si>
  <si>
    <t>BARB0JAMBUS</t>
  </si>
  <si>
    <t>AFYPC7910G</t>
  </si>
  <si>
    <t>BLF3504917</t>
  </si>
  <si>
    <t>01/06/1974</t>
  </si>
  <si>
    <t>SMT NILAMBAHEN K.KHER</t>
  </si>
  <si>
    <t>શ્રીમતી નિલમબહેન કે.ખેર</t>
  </si>
  <si>
    <t>મુ.પો.તા.અંક્લેશ્વર,જિ.ભરૂચ</t>
  </si>
  <si>
    <t>96875 52833</t>
  </si>
  <si>
    <t>BARB0ANKLES</t>
  </si>
  <si>
    <t>GCYPM6740P</t>
  </si>
  <si>
    <t>SOE1496934</t>
  </si>
  <si>
    <t>08/09/1989</t>
  </si>
  <si>
    <t>SHRI NARESHKUMAR R.BHOI</t>
  </si>
  <si>
    <t>શ્રી નરેશકુમાર આર. ભોઇ</t>
  </si>
  <si>
    <t>ધરતી નગર મુ.પો.તા,નેત્રંગ,જિ.ભરૂચ</t>
  </si>
  <si>
    <t>83477 33677</t>
  </si>
  <si>
    <t>BARB0SELAMB</t>
  </si>
  <si>
    <t>CPZPB8190Q</t>
  </si>
  <si>
    <t>3185 1236 0066</t>
  </si>
  <si>
    <t>RHH0948992</t>
  </si>
  <si>
    <t>01/01/1992</t>
  </si>
  <si>
    <t>SHRI UTTAMBHAI A.PATEL</t>
  </si>
  <si>
    <t>શ્રી ઉત્તમભાઈ એ.પટેલ</t>
  </si>
  <si>
    <t>શ્રી દત્ત કો.ઓ.સોસાયટી (રાજપારડી રોડ), મુ.પો.તા,નેત્રંગ,જિ.ભરૂચ</t>
  </si>
  <si>
    <t>99258 63648</t>
  </si>
  <si>
    <t>AQYPP7367D</t>
  </si>
  <si>
    <t>7546 3453 5835</t>
  </si>
  <si>
    <t>GJ/26/178/399533</t>
  </si>
  <si>
    <t>02/03/1974</t>
  </si>
  <si>
    <t>SHRI MAHENDRAPURI U.GOSAVI</t>
  </si>
  <si>
    <t>શ્રી મહેંદ્રપુરી યુ. ગોસાવી</t>
  </si>
  <si>
    <t>ઉ.મા.મ.શિક્ષક</t>
  </si>
  <si>
    <t>ધરતી નગર, તા.નેત્રંગ, જિ.ભરૂચ</t>
  </si>
  <si>
    <t>97252 53857</t>
  </si>
  <si>
    <t>BBFPG2016K</t>
  </si>
  <si>
    <t>HRK3656881</t>
  </si>
  <si>
    <t>08/10/1975</t>
  </si>
  <si>
    <t>SHRI JITENDRAKUMAR M.CHAUDHARI</t>
  </si>
  <si>
    <t>શ્રી જિતેંદ્રકુમાર એમ.ચૌધરી</t>
  </si>
  <si>
    <t>પારસી ચાલ, મુ.પો.તા,નેત્રંગ,જિ.ભરૂચ</t>
  </si>
  <si>
    <t>99794 83010</t>
  </si>
  <si>
    <t>AONPC9057N</t>
  </si>
  <si>
    <t>HRK1280189</t>
  </si>
  <si>
    <t>18/12/1982</t>
  </si>
  <si>
    <t>SMT. NIRMALABEN J.VASAVA</t>
  </si>
  <si>
    <t>શ્રીમતી નિર્મલાબેન જે.વસાવા</t>
  </si>
  <si>
    <t>ગાંધી બજાર, મુ.પો.તા,નેત્રંગ,જિ.ભરૂચ</t>
  </si>
  <si>
    <t>AMHPN4396D</t>
  </si>
  <si>
    <t>SOE1996255</t>
  </si>
  <si>
    <t>04/06/1986</t>
  </si>
  <si>
    <t>SMT. SWITIKUMARI B.PATEL</t>
  </si>
  <si>
    <t>શ્રીમતી સ્વીટીકુમારી બી.પટેલ</t>
  </si>
  <si>
    <t>મુ.પો.તા.વ્યારા,જિ.તાપી</t>
  </si>
  <si>
    <t>96256 72567</t>
  </si>
  <si>
    <t>BPBPP6430E</t>
  </si>
  <si>
    <t>RPU1300508</t>
  </si>
  <si>
    <t>17/09/1986</t>
  </si>
  <si>
    <t>SMT. URMILABEN H.VASAVA</t>
  </si>
  <si>
    <t>શ્રીમતી ઉર્મિલાબેન એચ.વસાવા</t>
  </si>
  <si>
    <t>મુ.પો.નવાનગર, તા.દેડીયાપાડા,જિ.નર્મદા</t>
  </si>
  <si>
    <t>94270 04530</t>
  </si>
  <si>
    <t>BECP7341J</t>
  </si>
  <si>
    <t>RHH1427525</t>
  </si>
  <si>
    <t>18/10/1987</t>
  </si>
  <si>
    <t>SHRI DILIP G.KHASIYA</t>
  </si>
  <si>
    <t>શ્રી દિલીપભાઈ જી.ખસિયા</t>
  </si>
  <si>
    <t>હર્ષદનગર, મુ.પો.તા,નેત્રંગ,જિ.ભરૂચ</t>
  </si>
  <si>
    <t>76980 08980</t>
  </si>
  <si>
    <t>BWTPK9028A</t>
  </si>
  <si>
    <t>SMS2003671</t>
  </si>
  <si>
    <t>19/06/1987</t>
  </si>
  <si>
    <t>SHRI NAGINBHAI R.VANKAR</t>
  </si>
  <si>
    <t>શ્રી નગીનભાઈ આર.વણકર</t>
  </si>
  <si>
    <t>89800 66627</t>
  </si>
  <si>
    <t>AMXPV8414E</t>
  </si>
  <si>
    <t>ZGS2018828</t>
  </si>
  <si>
    <t>31/12/1983</t>
  </si>
  <si>
    <t>SMT. RUPALBEN K.BHARDIWALA</t>
  </si>
  <si>
    <t>શ્રીમતી રૂપલબેન કે.ભરડીવાલા</t>
  </si>
  <si>
    <t>મુ.પો.દીવા, તા,અંક્લેશ્વર,જિ.ભરૂચ</t>
  </si>
  <si>
    <t>70461 58424</t>
  </si>
  <si>
    <t>ERYPB8075H</t>
  </si>
  <si>
    <t>WDA2094720</t>
  </si>
  <si>
    <t>11/12/1993</t>
  </si>
  <si>
    <t>SMT.DARSHANABEN N.PATEL</t>
  </si>
  <si>
    <t>શ્રીમતી દર્શનાબેન એન.પટેલ</t>
  </si>
  <si>
    <t>A-7,ગજાનંદ સોસાયટી, હસ્તી તળાવ નજીક, મુ.પો.તા,અંક્લેશ્વર ,જિ.ભરૂચ</t>
  </si>
  <si>
    <t>75679 54451</t>
  </si>
  <si>
    <t>NDTPK2960Q</t>
  </si>
  <si>
    <t>WDA2496214</t>
  </si>
  <si>
    <t>02/04/1992</t>
  </si>
  <si>
    <t>SHRI. DILAWARBHAI S.CHAUHAN</t>
  </si>
  <si>
    <t>ચૌહાણ દિલાવરભાઇ એસ.</t>
  </si>
  <si>
    <t>જવાહર બજાર, મુ.પો.તા.નેત્રંગ,જિ.ભરૂચ</t>
  </si>
  <si>
    <t>97140 37337</t>
  </si>
  <si>
    <t>BARB0KARJAN</t>
  </si>
  <si>
    <t>BZUPC8880N</t>
  </si>
  <si>
    <t>6388 6452 8441</t>
  </si>
  <si>
    <t>IPL1580927</t>
  </si>
  <si>
    <t>25/07/1994</t>
  </si>
  <si>
    <t>SHRI RAKESHBHAI H.PATEL</t>
  </si>
  <si>
    <t>શ્રી રાકેશભાઈ એસ.પટેલ</t>
  </si>
  <si>
    <t>ગ્રંથપાલ</t>
  </si>
  <si>
    <t>90169 19155</t>
  </si>
  <si>
    <t>ATNPP2548Q</t>
  </si>
  <si>
    <t>BHQ2617512</t>
  </si>
  <si>
    <t>01/06/1978</t>
  </si>
  <si>
    <t>SHRI DIPAKKUMAR R.GADILUHAR</t>
  </si>
  <si>
    <t>શ્રી દિપકકુમાર આર.ગાડીલુહાર</t>
  </si>
  <si>
    <t>સેવક</t>
  </si>
  <si>
    <t>મુ.પો.કેલ્વીકુવા,તા.નેત્રંગ,જિ.ભરૂચ</t>
  </si>
  <si>
    <t>96244 70239</t>
  </si>
  <si>
    <t>BDYPG4423P</t>
  </si>
  <si>
    <t>8456 5199 3778</t>
  </si>
  <si>
    <t>HRK1181882</t>
  </si>
  <si>
    <t>13/07/1982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</si>
</sst>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19">
    <font>
      <sz val="10.0"/>
      <color rgb="FF000000"/>
      <name val="Arial"/>
      <scheme val="minor"/>
    </font>
    <font>
      <b/>
      <sz val="18.0"/>
      <color rgb="FF000000"/>
      <name val="&quot;Arial Unicode MS&quot;"/>
    </font>
    <font>
      <b/>
      <sz val="14.0"/>
      <color rgb="FF000000"/>
      <name val="&quot;Arial Unicode MS&quot;"/>
    </font>
    <font>
      <sz val="11.0"/>
      <color rgb="FF000000"/>
      <name val="&quot;Arial Unicode MS&quot;"/>
    </font>
    <font>
      <b/>
      <color rgb="FF000000"/>
      <name val="&quot;Arial Unicode MS&quot;"/>
    </font>
    <font>
      <color rgb="FF000000"/>
      <name val="&quot;Arial Unicode MS&quot;"/>
    </font>
    <font>
      <color theme="1"/>
      <name val="Arial"/>
      <scheme val="minor"/>
    </font>
    <font>
      <b/>
      <sz val="11.0"/>
      <color theme="1"/>
      <name val="&quot;Arial Unicode MS&quot;"/>
    </font>
    <font>
      <b/>
      <color theme="1"/>
      <name val="&quot;Arial Unicode MS&quot;"/>
    </font>
    <font>
      <b/>
      <sz val="11.0"/>
      <color rgb="FF000000"/>
      <name val="&quot;Times New Roman&quot;"/>
    </font>
    <font>
      <b/>
      <sz val="10.0"/>
      <color theme="1"/>
      <name val="Cambria"/>
    </font>
    <font>
      <b/>
      <sz val="10.0"/>
      <color rgb="FF000000"/>
      <name val="&quot;Arial Unicode MS&quot;"/>
    </font>
    <font>
      <b/>
      <sz val="11.0"/>
      <color rgb="FF000000"/>
      <name val="Cambria"/>
    </font>
    <font>
      <b/>
      <sz val="12.0"/>
      <color rgb="FF000000"/>
      <name val="Cambria"/>
    </font>
    <font>
      <b/>
      <color rgb="FF000000"/>
      <name val="Arial"/>
    </font>
    <font>
      <b/>
      <sz val="11.0"/>
      <color theme="1"/>
      <name val="Cambria"/>
    </font>
    <font>
      <sz val="11.0"/>
      <color rgb="FF000000"/>
      <name val="&quot;Times New Roman&quot;"/>
    </font>
    <font>
      <sz val="9.0"/>
      <color theme="1"/>
      <name val="&quot;Times New Roman&quot;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1" fillId="3" fontId="9" numFmtId="0" xfId="0" applyAlignment="1" applyBorder="1" applyFill="1" applyFont="1">
      <alignment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11" numFmtId="0" xfId="0" applyAlignment="1" applyBorder="1" applyFont="1">
      <alignment readingOrder="0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3" fontId="12" numFmtId="49" xfId="0" applyAlignment="1" applyBorder="1" applyFont="1" applyNumberFormat="1">
      <alignment horizontal="center" readingOrder="0" shrinkToFit="0" vertical="center" wrapText="0"/>
    </xf>
    <xf borderId="1" fillId="3" fontId="13" numFmtId="1" xfId="0" applyAlignment="1" applyBorder="1" applyFont="1" applyNumberFormat="1">
      <alignment horizontal="center" readingOrder="0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3" fontId="14" numFmtId="0" xfId="0" applyAlignment="1" applyBorder="1" applyFont="1">
      <alignment horizontal="left"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3" fontId="15" numFmtId="0" xfId="0" applyAlignment="1" applyBorder="1" applyFont="1">
      <alignment readingOrder="0" shrinkToFit="0" vertical="center" wrapText="0"/>
    </xf>
    <xf borderId="1" fillId="3" fontId="15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1" fillId="3" fontId="14" numFmtId="0" xfId="0" applyAlignment="1" applyBorder="1" applyFont="1">
      <alignment readingOrder="0" shrinkToFit="0" vertical="center" wrapText="0"/>
    </xf>
    <xf borderId="1" fillId="3" fontId="15" numFmtId="49" xfId="0" applyAlignment="1" applyBorder="1" applyFont="1" applyNumberFormat="1">
      <alignment horizontal="center" readingOrder="0" shrinkToFit="0" vertical="center" wrapText="0"/>
    </xf>
    <xf borderId="1" fillId="3" fontId="16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17" numFmtId="0" xfId="0" applyAlignment="1" applyBorder="1" applyFont="1">
      <alignment horizontal="left" vertical="center"/>
    </xf>
    <xf borderId="1" fillId="3" fontId="18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3" numFmtId="49" xfId="0" applyAlignment="1" applyBorder="1" applyFont="1" applyNumberFormat="1">
      <alignment shrinkToFit="0" vertical="center" wrapText="0"/>
    </xf>
    <xf borderId="0" fillId="0" fontId="6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29" displayName="Table1" name="Table1" id="1">
  <tableColumns count="16">
    <tableColumn name="ક્રમ" id="1"/>
    <tableColumn name="તાલુકો" id="2"/>
    <tableColumn name="શિક્ષક નું નામ (અંગ્રેજી)" id="3"/>
    <tableColumn name="શિક્ષક નું નામ (ગુજરાતી)" id="4"/>
    <tableColumn name="હોદ્દો" id="5"/>
    <tableColumn name="જાતિ" id="6"/>
    <tableColumn name="સરનામુ" id="7"/>
    <tableColumn name="મોબાઈલ" id="8"/>
    <tableColumn name="બઁક અકાઉન્ટ નંબર" id="9"/>
    <tableColumn name="બેંક નું નામ" id="10"/>
    <tableColumn name="I.F.S.C કોડ" id="11"/>
    <tableColumn name="પાન નંબર" id="12"/>
    <tableColumn name="આધાર કાર્ડ" id="13"/>
    <tableColumn name="ચુટણી કાર્ડ" id="14"/>
    <tableColumn name="જન્મ તારીખ" id="15"/>
    <tableColumn name="ઉમર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25"/>
    <col customWidth="1" min="2" max="2" width="10.5"/>
    <col customWidth="1" min="3" max="3" width="30.75"/>
    <col customWidth="1" min="4" max="4" width="24.38"/>
    <col customWidth="1" min="5" max="5" width="16.13"/>
    <col customWidth="1" min="6" max="6" width="12.63"/>
    <col customWidth="1" min="7" max="7" width="48.63"/>
    <col customWidth="1" min="8" max="8" width="13.5"/>
    <col customWidth="1" min="9" max="9" width="23.25"/>
    <col customWidth="1" min="10" max="10" width="15.13"/>
    <col customWidth="1" min="11" max="11" width="21.0"/>
    <col customWidth="1" min="12" max="12" width="13.38"/>
    <col customWidth="1" min="13" max="13" width="16.13"/>
    <col customWidth="1" min="14" max="14" width="18.75"/>
    <col customWidth="1" min="15" max="15" width="14.13"/>
    <col customWidth="1" min="16" max="16" width="12.25"/>
  </cols>
  <sheetData>
    <row r="1">
      <c r="A1" s="1" t="s">
        <v>0</v>
      </c>
    </row>
    <row r="2">
      <c r="A2" s="2" t="s">
        <v>1</v>
      </c>
    </row>
    <row r="3">
      <c r="A3" s="3"/>
      <c r="B3" s="4"/>
      <c r="C3" s="5"/>
      <c r="D3" s="6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8"/>
    </row>
    <row r="4" ht="33.75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10" t="s">
        <v>16</v>
      </c>
      <c r="P4" s="10" t="s">
        <v>17</v>
      </c>
      <c r="Q4" s="11"/>
      <c r="R4" s="11"/>
      <c r="S4" s="11"/>
      <c r="T4" s="11"/>
      <c r="U4" s="11"/>
      <c r="V4" s="11"/>
    </row>
    <row r="5" ht="33.75" customHeight="1">
      <c r="A5" s="12">
        <v>1.0</v>
      </c>
      <c r="B5" s="13" t="s">
        <v>18</v>
      </c>
      <c r="C5" s="14" t="s">
        <v>19</v>
      </c>
      <c r="D5" s="15" t="s">
        <v>20</v>
      </c>
      <c r="E5" s="16" t="s">
        <v>21</v>
      </c>
      <c r="F5" s="17" t="s">
        <v>22</v>
      </c>
      <c r="G5" s="15" t="s">
        <v>23</v>
      </c>
      <c r="H5" s="18" t="s">
        <v>24</v>
      </c>
      <c r="I5" s="19">
        <v>3.9190100000185E13</v>
      </c>
      <c r="J5" s="18" t="s">
        <v>25</v>
      </c>
      <c r="K5" s="20" t="s">
        <v>26</v>
      </c>
      <c r="L5" s="18" t="s">
        <v>27</v>
      </c>
      <c r="M5" s="18">
        <v>8.11972719235E11</v>
      </c>
      <c r="N5" s="18" t="s">
        <v>28</v>
      </c>
      <c r="O5" s="21" t="s">
        <v>29</v>
      </c>
      <c r="P5" s="22">
        <f t="shared" ref="P5:P6" si="1">YEARFRAC(O5,TODAY())</f>
        <v>56.23611111</v>
      </c>
      <c r="Q5" s="11"/>
      <c r="R5" s="11"/>
      <c r="S5" s="11"/>
      <c r="T5" s="11"/>
      <c r="U5" s="11"/>
      <c r="V5" s="11"/>
    </row>
    <row r="6" ht="33.75" customHeight="1">
      <c r="A6" s="12">
        <v>2.0</v>
      </c>
      <c r="B6" s="13" t="s">
        <v>18</v>
      </c>
      <c r="C6" s="14" t="s">
        <v>30</v>
      </c>
      <c r="D6" s="15" t="s">
        <v>31</v>
      </c>
      <c r="E6" s="16" t="s">
        <v>32</v>
      </c>
      <c r="F6" s="17" t="s">
        <v>33</v>
      </c>
      <c r="G6" s="15" t="s">
        <v>34</v>
      </c>
      <c r="H6" s="18" t="s">
        <v>35</v>
      </c>
      <c r="I6" s="19">
        <v>3.9190100000182E13</v>
      </c>
      <c r="J6" s="18" t="s">
        <v>25</v>
      </c>
      <c r="K6" s="20" t="s">
        <v>26</v>
      </c>
      <c r="L6" s="18" t="s">
        <v>36</v>
      </c>
      <c r="M6" s="18" t="s">
        <v>37</v>
      </c>
      <c r="N6" s="18" t="s">
        <v>38</v>
      </c>
      <c r="O6" s="21" t="s">
        <v>39</v>
      </c>
      <c r="P6" s="22">
        <f t="shared" si="1"/>
        <v>56.82222222</v>
      </c>
      <c r="Q6" s="11"/>
      <c r="R6" s="11"/>
      <c r="S6" s="11"/>
      <c r="T6" s="11"/>
      <c r="U6" s="11"/>
      <c r="V6" s="11"/>
    </row>
    <row r="7" ht="33.75" customHeight="1">
      <c r="A7" s="12">
        <v>3.0</v>
      </c>
      <c r="B7" s="13" t="s">
        <v>18</v>
      </c>
      <c r="C7" s="14" t="s">
        <v>40</v>
      </c>
      <c r="D7" s="15" t="s">
        <v>41</v>
      </c>
      <c r="E7" s="16" t="s">
        <v>42</v>
      </c>
      <c r="F7" s="17" t="s">
        <v>22</v>
      </c>
      <c r="G7" s="15" t="s">
        <v>43</v>
      </c>
      <c r="H7" s="18" t="s">
        <v>44</v>
      </c>
      <c r="I7" s="19">
        <v>3.9190100000187E13</v>
      </c>
      <c r="J7" s="18" t="s">
        <v>25</v>
      </c>
      <c r="K7" s="20" t="s">
        <v>26</v>
      </c>
      <c r="L7" s="18" t="s">
        <v>45</v>
      </c>
      <c r="M7" s="23">
        <v>3.63332438106E11</v>
      </c>
      <c r="N7" s="18" t="s">
        <v>46</v>
      </c>
      <c r="O7" s="21" t="s">
        <v>47</v>
      </c>
      <c r="P7" s="22">
        <v>52.0</v>
      </c>
      <c r="Q7" s="11"/>
      <c r="R7" s="11"/>
      <c r="S7" s="11"/>
      <c r="T7" s="11"/>
      <c r="U7" s="11"/>
      <c r="V7" s="11"/>
    </row>
    <row r="8" ht="33.75" customHeight="1">
      <c r="A8" s="12">
        <v>4.0</v>
      </c>
      <c r="B8" s="13" t="s">
        <v>18</v>
      </c>
      <c r="C8" s="14" t="s">
        <v>48</v>
      </c>
      <c r="D8" s="15" t="s">
        <v>49</v>
      </c>
      <c r="E8" s="16" t="s">
        <v>42</v>
      </c>
      <c r="F8" s="17" t="s">
        <v>22</v>
      </c>
      <c r="G8" s="15" t="s">
        <v>43</v>
      </c>
      <c r="H8" s="18" t="s">
        <v>50</v>
      </c>
      <c r="I8" s="19">
        <v>3.9190100000188E13</v>
      </c>
      <c r="J8" s="18" t="s">
        <v>25</v>
      </c>
      <c r="K8" s="20" t="s">
        <v>26</v>
      </c>
      <c r="L8" s="24" t="s">
        <v>51</v>
      </c>
      <c r="M8" s="18">
        <v>2.23917243262E11</v>
      </c>
      <c r="N8" s="18" t="s">
        <v>52</v>
      </c>
      <c r="O8" s="21" t="s">
        <v>53</v>
      </c>
      <c r="P8" s="22">
        <f>YEARFRAC(O8,TODAY())</f>
        <v>50.22777778</v>
      </c>
      <c r="Q8" s="11"/>
      <c r="R8" s="11"/>
      <c r="S8" s="11"/>
      <c r="T8" s="11"/>
      <c r="U8" s="11"/>
      <c r="V8" s="11"/>
    </row>
    <row r="9" ht="33.75" customHeight="1">
      <c r="A9" s="12">
        <v>5.0</v>
      </c>
      <c r="B9" s="13" t="s">
        <v>18</v>
      </c>
      <c r="C9" s="14" t="s">
        <v>54</v>
      </c>
      <c r="D9" s="15" t="s">
        <v>55</v>
      </c>
      <c r="E9" s="16" t="s">
        <v>42</v>
      </c>
      <c r="F9" s="17" t="s">
        <v>22</v>
      </c>
      <c r="G9" s="15" t="s">
        <v>43</v>
      </c>
      <c r="H9" s="18" t="s">
        <v>56</v>
      </c>
      <c r="I9" s="19">
        <v>3.9190100000191E13</v>
      </c>
      <c r="J9" s="18" t="s">
        <v>25</v>
      </c>
      <c r="K9" s="20" t="s">
        <v>26</v>
      </c>
      <c r="L9" s="24" t="s">
        <v>57</v>
      </c>
      <c r="M9" s="18">
        <v>7.36004752653E11</v>
      </c>
      <c r="N9" s="18" t="s">
        <v>58</v>
      </c>
      <c r="O9" s="21" t="s">
        <v>59</v>
      </c>
      <c r="P9" s="22">
        <v>52.0</v>
      </c>
      <c r="Q9" s="11"/>
      <c r="R9" s="11"/>
      <c r="S9" s="11"/>
      <c r="T9" s="11"/>
      <c r="U9" s="11"/>
      <c r="V9" s="11"/>
    </row>
    <row r="10" ht="33.75" customHeight="1">
      <c r="A10" s="12">
        <v>6.0</v>
      </c>
      <c r="B10" s="13" t="s">
        <v>18</v>
      </c>
      <c r="C10" s="14" t="s">
        <v>60</v>
      </c>
      <c r="D10" s="15" t="s">
        <v>61</v>
      </c>
      <c r="E10" s="16" t="s">
        <v>42</v>
      </c>
      <c r="F10" s="17" t="s">
        <v>22</v>
      </c>
      <c r="G10" s="15" t="s">
        <v>62</v>
      </c>
      <c r="H10" s="18" t="s">
        <v>63</v>
      </c>
      <c r="I10" s="19">
        <v>2.552010000069E13</v>
      </c>
      <c r="J10" s="18" t="s">
        <v>25</v>
      </c>
      <c r="K10" s="20" t="s">
        <v>26</v>
      </c>
      <c r="L10" s="24" t="s">
        <v>64</v>
      </c>
      <c r="M10" s="18">
        <v>3.49240333092E11</v>
      </c>
      <c r="N10" s="18" t="s">
        <v>65</v>
      </c>
      <c r="O10" s="21" t="s">
        <v>66</v>
      </c>
      <c r="P10" s="22">
        <f t="shared" ref="P10:P11" si="2">YEARFRAC(O10,TODAY())</f>
        <v>55.23611111</v>
      </c>
      <c r="Q10" s="11"/>
      <c r="R10" s="11"/>
      <c r="S10" s="11"/>
      <c r="T10" s="11"/>
      <c r="U10" s="11"/>
      <c r="V10" s="11"/>
    </row>
    <row r="11" ht="33.75" customHeight="1">
      <c r="A11" s="12">
        <v>7.0</v>
      </c>
      <c r="B11" s="13" t="s">
        <v>18</v>
      </c>
      <c r="C11" s="14" t="s">
        <v>67</v>
      </c>
      <c r="D11" s="25" t="s">
        <v>68</v>
      </c>
      <c r="E11" s="16" t="s">
        <v>42</v>
      </c>
      <c r="F11" s="17" t="s">
        <v>33</v>
      </c>
      <c r="G11" s="15" t="s">
        <v>69</v>
      </c>
      <c r="H11" s="18" t="s">
        <v>70</v>
      </c>
      <c r="I11" s="19">
        <v>7.298100002165E12</v>
      </c>
      <c r="J11" s="18" t="s">
        <v>25</v>
      </c>
      <c r="K11" s="20" t="s">
        <v>26</v>
      </c>
      <c r="L11" s="18" t="s">
        <v>71</v>
      </c>
      <c r="M11" s="18">
        <v>9.1671528739E11</v>
      </c>
      <c r="N11" s="18" t="s">
        <v>72</v>
      </c>
      <c r="O11" s="21" t="s">
        <v>73</v>
      </c>
      <c r="P11" s="22">
        <f t="shared" si="2"/>
        <v>31.06388889</v>
      </c>
      <c r="Q11" s="11"/>
      <c r="R11" s="11"/>
      <c r="S11" s="11"/>
      <c r="T11" s="11"/>
      <c r="U11" s="11"/>
      <c r="V11" s="11"/>
    </row>
    <row r="12" ht="33.75" customHeight="1">
      <c r="A12" s="12">
        <v>8.0</v>
      </c>
      <c r="B12" s="13" t="s">
        <v>18</v>
      </c>
      <c r="C12" s="14" t="s">
        <v>74</v>
      </c>
      <c r="D12" s="15" t="s">
        <v>75</v>
      </c>
      <c r="E12" s="16" t="s">
        <v>42</v>
      </c>
      <c r="F12" s="17" t="s">
        <v>33</v>
      </c>
      <c r="G12" s="15" t="s">
        <v>76</v>
      </c>
      <c r="H12" s="18" t="s">
        <v>77</v>
      </c>
      <c r="I12" s="19">
        <v>3.9190100012844E13</v>
      </c>
      <c r="J12" s="18" t="s">
        <v>25</v>
      </c>
      <c r="K12" s="20" t="s">
        <v>26</v>
      </c>
      <c r="L12" s="18" t="s">
        <v>78</v>
      </c>
      <c r="M12" s="18">
        <v>4.84794479595E11</v>
      </c>
      <c r="N12" s="18" t="s">
        <v>79</v>
      </c>
      <c r="O12" s="21" t="s">
        <v>80</v>
      </c>
      <c r="P12" s="22">
        <v>41.0</v>
      </c>
      <c r="Q12" s="11"/>
      <c r="R12" s="11"/>
      <c r="S12" s="11"/>
      <c r="T12" s="11"/>
      <c r="U12" s="11"/>
      <c r="V12" s="11"/>
    </row>
    <row r="13" ht="33.75" customHeight="1">
      <c r="A13" s="12">
        <v>9.0</v>
      </c>
      <c r="B13" s="13" t="s">
        <v>18</v>
      </c>
      <c r="C13" s="14" t="s">
        <v>81</v>
      </c>
      <c r="D13" s="15" t="s">
        <v>82</v>
      </c>
      <c r="E13" s="16" t="s">
        <v>42</v>
      </c>
      <c r="F13" s="17" t="s">
        <v>33</v>
      </c>
      <c r="G13" s="15" t="s">
        <v>83</v>
      </c>
      <c r="H13" s="18" t="s">
        <v>84</v>
      </c>
      <c r="I13" s="19">
        <v>1.2430100016322E13</v>
      </c>
      <c r="J13" s="18" t="s">
        <v>25</v>
      </c>
      <c r="K13" s="20" t="s">
        <v>85</v>
      </c>
      <c r="L13" s="18" t="s">
        <v>86</v>
      </c>
      <c r="M13" s="18">
        <v>5.8004447645E11</v>
      </c>
      <c r="N13" s="18" t="s">
        <v>87</v>
      </c>
      <c r="O13" s="21" t="s">
        <v>88</v>
      </c>
      <c r="P13" s="22">
        <v>52.0</v>
      </c>
      <c r="Q13" s="11"/>
      <c r="R13" s="11"/>
      <c r="S13" s="11"/>
      <c r="T13" s="11"/>
      <c r="U13" s="11"/>
      <c r="V13" s="11"/>
    </row>
    <row r="14" ht="33.75" customHeight="1">
      <c r="A14" s="12">
        <v>10.0</v>
      </c>
      <c r="B14" s="13" t="s">
        <v>18</v>
      </c>
      <c r="C14" s="14" t="s">
        <v>89</v>
      </c>
      <c r="D14" s="15" t="s">
        <v>90</v>
      </c>
      <c r="E14" s="16" t="s">
        <v>42</v>
      </c>
      <c r="F14" s="17" t="s">
        <v>22</v>
      </c>
      <c r="G14" s="15" t="s">
        <v>91</v>
      </c>
      <c r="H14" s="18" t="s">
        <v>92</v>
      </c>
      <c r="I14" s="19">
        <v>2.220100002423E12</v>
      </c>
      <c r="J14" s="18" t="s">
        <v>25</v>
      </c>
      <c r="K14" s="20" t="s">
        <v>93</v>
      </c>
      <c r="L14" s="18" t="s">
        <v>94</v>
      </c>
      <c r="M14" s="18">
        <v>9.68924678294E11</v>
      </c>
      <c r="N14" s="18" t="s">
        <v>95</v>
      </c>
      <c r="O14" s="21" t="s">
        <v>96</v>
      </c>
      <c r="P14" s="22">
        <f t="shared" ref="P14:P18" si="3">YEARFRAC(O14,TODAY())</f>
        <v>52.23611111</v>
      </c>
      <c r="Q14" s="11"/>
      <c r="R14" s="11"/>
      <c r="S14" s="11"/>
      <c r="T14" s="11"/>
      <c r="U14" s="11"/>
      <c r="V14" s="11"/>
    </row>
    <row r="15" ht="33.75" customHeight="1">
      <c r="A15" s="12">
        <v>11.0</v>
      </c>
      <c r="B15" s="13" t="s">
        <v>18</v>
      </c>
      <c r="C15" s="14" t="s">
        <v>97</v>
      </c>
      <c r="D15" s="15" t="s">
        <v>98</v>
      </c>
      <c r="E15" s="16" t="s">
        <v>42</v>
      </c>
      <c r="F15" s="17" t="s">
        <v>33</v>
      </c>
      <c r="G15" s="15" t="s">
        <v>99</v>
      </c>
      <c r="H15" s="18" t="s">
        <v>100</v>
      </c>
      <c r="I15" s="19">
        <v>3.9190100015155E13</v>
      </c>
      <c r="J15" s="18" t="s">
        <v>25</v>
      </c>
      <c r="K15" s="20" t="s">
        <v>101</v>
      </c>
      <c r="L15" s="18" t="s">
        <v>102</v>
      </c>
      <c r="M15" s="18">
        <v>7.16755374618E11</v>
      </c>
      <c r="N15" s="18" t="s">
        <v>103</v>
      </c>
      <c r="O15" s="21" t="s">
        <v>104</v>
      </c>
      <c r="P15" s="22">
        <f t="shared" si="3"/>
        <v>36.64444444</v>
      </c>
      <c r="Q15" s="11"/>
      <c r="R15" s="11"/>
      <c r="S15" s="11"/>
      <c r="T15" s="11"/>
      <c r="U15" s="11"/>
      <c r="V15" s="11"/>
    </row>
    <row r="16" ht="33.75" customHeight="1">
      <c r="A16" s="12">
        <v>12.0</v>
      </c>
      <c r="B16" s="13" t="s">
        <v>18</v>
      </c>
      <c r="C16" s="14" t="s">
        <v>105</v>
      </c>
      <c r="D16" s="15" t="s">
        <v>106</v>
      </c>
      <c r="E16" s="16" t="s">
        <v>42</v>
      </c>
      <c r="F16" s="17" t="s">
        <v>22</v>
      </c>
      <c r="G16" s="25" t="s">
        <v>107</v>
      </c>
      <c r="H16" s="18" t="s">
        <v>108</v>
      </c>
      <c r="I16" s="19">
        <v>1.1450100020627E13</v>
      </c>
      <c r="J16" s="18" t="s">
        <v>25</v>
      </c>
      <c r="K16" s="20" t="s">
        <v>109</v>
      </c>
      <c r="L16" s="18" t="s">
        <v>110</v>
      </c>
      <c r="M16" s="18" t="s">
        <v>111</v>
      </c>
      <c r="N16" s="18" t="s">
        <v>112</v>
      </c>
      <c r="O16" s="21" t="s">
        <v>113</v>
      </c>
      <c r="P16" s="22">
        <f t="shared" si="3"/>
        <v>34.25</v>
      </c>
      <c r="Q16" s="11"/>
      <c r="R16" s="11"/>
      <c r="S16" s="11"/>
      <c r="T16" s="11"/>
      <c r="U16" s="11"/>
      <c r="V16" s="11"/>
    </row>
    <row r="17" ht="33.75" customHeight="1">
      <c r="A17" s="12">
        <v>13.0</v>
      </c>
      <c r="B17" s="13" t="s">
        <v>18</v>
      </c>
      <c r="C17" s="14" t="s">
        <v>114</v>
      </c>
      <c r="D17" s="15" t="s">
        <v>115</v>
      </c>
      <c r="E17" s="16" t="s">
        <v>32</v>
      </c>
      <c r="F17" s="17" t="s">
        <v>22</v>
      </c>
      <c r="G17" s="15" t="s">
        <v>116</v>
      </c>
      <c r="H17" s="18" t="s">
        <v>117</v>
      </c>
      <c r="I17" s="19">
        <v>3.9190100000196E13</v>
      </c>
      <c r="J17" s="18" t="s">
        <v>25</v>
      </c>
      <c r="K17" s="26" t="s">
        <v>26</v>
      </c>
      <c r="L17" s="18" t="s">
        <v>118</v>
      </c>
      <c r="M17" s="18" t="s">
        <v>119</v>
      </c>
      <c r="N17" s="18" t="s">
        <v>120</v>
      </c>
      <c r="O17" s="21" t="s">
        <v>121</v>
      </c>
      <c r="P17" s="22">
        <f t="shared" si="3"/>
        <v>52.16111111</v>
      </c>
      <c r="Q17" s="11"/>
      <c r="R17" s="11"/>
      <c r="S17" s="11"/>
      <c r="T17" s="11"/>
      <c r="U17" s="11"/>
      <c r="V17" s="11"/>
    </row>
    <row r="18" ht="33.75" customHeight="1">
      <c r="A18" s="12">
        <v>14.0</v>
      </c>
      <c r="B18" s="13" t="s">
        <v>18</v>
      </c>
      <c r="C18" s="14" t="s">
        <v>122</v>
      </c>
      <c r="D18" s="15" t="s">
        <v>123</v>
      </c>
      <c r="E18" s="16" t="s">
        <v>124</v>
      </c>
      <c r="F18" s="17" t="s">
        <v>22</v>
      </c>
      <c r="G18" s="15" t="s">
        <v>125</v>
      </c>
      <c r="H18" s="18" t="s">
        <v>126</v>
      </c>
      <c r="I18" s="19">
        <v>3.9190100000197E13</v>
      </c>
      <c r="J18" s="18" t="s">
        <v>25</v>
      </c>
      <c r="K18" s="26" t="s">
        <v>26</v>
      </c>
      <c r="L18" s="18" t="s">
        <v>127</v>
      </c>
      <c r="M18" s="18">
        <v>3.22303394918E11</v>
      </c>
      <c r="N18" s="18" t="s">
        <v>128</v>
      </c>
      <c r="O18" s="21" t="s">
        <v>129</v>
      </c>
      <c r="P18" s="22">
        <f t="shared" si="3"/>
        <v>50.64166667</v>
      </c>
      <c r="Q18" s="11"/>
      <c r="R18" s="11"/>
      <c r="S18" s="11"/>
      <c r="T18" s="11"/>
      <c r="U18" s="11"/>
      <c r="V18" s="11"/>
    </row>
    <row r="19" ht="33.75" customHeight="1">
      <c r="A19" s="12">
        <v>15.0</v>
      </c>
      <c r="B19" s="13" t="s">
        <v>18</v>
      </c>
      <c r="C19" s="14" t="s">
        <v>130</v>
      </c>
      <c r="D19" s="15" t="s">
        <v>131</v>
      </c>
      <c r="E19" s="16" t="s">
        <v>124</v>
      </c>
      <c r="F19" s="17" t="s">
        <v>22</v>
      </c>
      <c r="G19" s="15" t="s">
        <v>132</v>
      </c>
      <c r="H19" s="18" t="s">
        <v>133</v>
      </c>
      <c r="I19" s="19">
        <v>3.9190100007465E13</v>
      </c>
      <c r="J19" s="18" t="s">
        <v>25</v>
      </c>
      <c r="K19" s="26" t="s">
        <v>26</v>
      </c>
      <c r="L19" s="18" t="s">
        <v>134</v>
      </c>
      <c r="M19" s="18">
        <v>2.81754846279E11</v>
      </c>
      <c r="N19" s="18" t="s">
        <v>135</v>
      </c>
      <c r="O19" s="21" t="s">
        <v>136</v>
      </c>
      <c r="P19" s="22">
        <v>43.0</v>
      </c>
      <c r="Q19" s="11"/>
      <c r="R19" s="11"/>
      <c r="S19" s="11"/>
      <c r="T19" s="11"/>
      <c r="U19" s="11"/>
      <c r="V19" s="11"/>
    </row>
    <row r="20" ht="33.75" customHeight="1">
      <c r="A20" s="12">
        <v>16.0</v>
      </c>
      <c r="B20" s="13" t="s">
        <v>18</v>
      </c>
      <c r="C20" s="14" t="s">
        <v>137</v>
      </c>
      <c r="D20" s="15" t="s">
        <v>138</v>
      </c>
      <c r="E20" s="16" t="s">
        <v>124</v>
      </c>
      <c r="F20" s="17" t="s">
        <v>33</v>
      </c>
      <c r="G20" s="15" t="s">
        <v>139</v>
      </c>
      <c r="H20" s="18">
        <v>9.313496733E9</v>
      </c>
      <c r="I20" s="19">
        <v>3.9190100007464E13</v>
      </c>
      <c r="J20" s="18" t="s">
        <v>25</v>
      </c>
      <c r="K20" s="26" t="s">
        <v>26</v>
      </c>
      <c r="L20" s="18" t="s">
        <v>140</v>
      </c>
      <c r="M20" s="18">
        <v>6.18708839907E11</v>
      </c>
      <c r="N20" s="18" t="s">
        <v>141</v>
      </c>
      <c r="O20" s="21" t="s">
        <v>142</v>
      </c>
      <c r="P20" s="22">
        <f>YEARFRAC(O20,TODAY())</f>
        <v>39.98611111</v>
      </c>
      <c r="Q20" s="11"/>
      <c r="R20" s="11"/>
      <c r="S20" s="11"/>
      <c r="T20" s="11"/>
      <c r="U20" s="11"/>
      <c r="V20" s="11"/>
    </row>
    <row r="21" ht="33.75" customHeight="1">
      <c r="A21" s="12">
        <v>17.0</v>
      </c>
      <c r="B21" s="13" t="s">
        <v>18</v>
      </c>
      <c r="C21" s="14" t="s">
        <v>143</v>
      </c>
      <c r="D21" s="15" t="s">
        <v>144</v>
      </c>
      <c r="E21" s="16" t="s">
        <v>124</v>
      </c>
      <c r="F21" s="17" t="s">
        <v>33</v>
      </c>
      <c r="G21" s="15" t="s">
        <v>145</v>
      </c>
      <c r="H21" s="18" t="s">
        <v>146</v>
      </c>
      <c r="I21" s="19">
        <v>3.9190100007463E13</v>
      </c>
      <c r="J21" s="18" t="s">
        <v>25</v>
      </c>
      <c r="K21" s="27" t="s">
        <v>26</v>
      </c>
      <c r="L21" s="28" t="s">
        <v>147</v>
      </c>
      <c r="M21" s="18">
        <v>4.42589256684E11</v>
      </c>
      <c r="N21" s="18" t="s">
        <v>148</v>
      </c>
      <c r="O21" s="21" t="s">
        <v>149</v>
      </c>
      <c r="P21" s="22">
        <v>40.0</v>
      </c>
      <c r="Q21" s="11"/>
      <c r="R21" s="11"/>
      <c r="S21" s="11"/>
      <c r="T21" s="11"/>
      <c r="U21" s="11"/>
      <c r="V21" s="11"/>
    </row>
    <row r="22" ht="33.75" customHeight="1">
      <c r="A22" s="12">
        <v>18.0</v>
      </c>
      <c r="B22" s="13" t="s">
        <v>18</v>
      </c>
      <c r="C22" s="14" t="s">
        <v>150</v>
      </c>
      <c r="D22" s="15" t="s">
        <v>151</v>
      </c>
      <c r="E22" s="16" t="s">
        <v>124</v>
      </c>
      <c r="F22" s="17" t="s">
        <v>33</v>
      </c>
      <c r="G22" s="15" t="s">
        <v>152</v>
      </c>
      <c r="H22" s="18" t="s">
        <v>153</v>
      </c>
      <c r="I22" s="19">
        <v>3.9190100010798E13</v>
      </c>
      <c r="J22" s="18" t="s">
        <v>25</v>
      </c>
      <c r="K22" s="26" t="s">
        <v>26</v>
      </c>
      <c r="L22" s="18" t="s">
        <v>154</v>
      </c>
      <c r="M22" s="18">
        <v>6.67908414013E11</v>
      </c>
      <c r="N22" s="18" t="s">
        <v>155</v>
      </c>
      <c r="O22" s="21" t="s">
        <v>156</v>
      </c>
      <c r="P22" s="22">
        <v>39.0</v>
      </c>
      <c r="Q22" s="11"/>
      <c r="R22" s="11"/>
      <c r="S22" s="11"/>
      <c r="T22" s="11"/>
      <c r="U22" s="11"/>
      <c r="V22" s="11"/>
    </row>
    <row r="23" ht="33.75" customHeight="1">
      <c r="A23" s="12">
        <v>19.0</v>
      </c>
      <c r="B23" s="13" t="s">
        <v>18</v>
      </c>
      <c r="C23" s="14" t="s">
        <v>157</v>
      </c>
      <c r="D23" s="15" t="s">
        <v>158</v>
      </c>
      <c r="E23" s="16" t="s">
        <v>124</v>
      </c>
      <c r="F23" s="17" t="s">
        <v>22</v>
      </c>
      <c r="G23" s="15" t="s">
        <v>159</v>
      </c>
      <c r="H23" s="18" t="s">
        <v>160</v>
      </c>
      <c r="I23" s="19">
        <v>3.9190100010799E13</v>
      </c>
      <c r="J23" s="18" t="s">
        <v>25</v>
      </c>
      <c r="K23" s="26" t="s">
        <v>26</v>
      </c>
      <c r="L23" s="29" t="s">
        <v>161</v>
      </c>
      <c r="M23" s="18">
        <v>3.80434549346E11</v>
      </c>
      <c r="N23" s="18" t="s">
        <v>162</v>
      </c>
      <c r="O23" s="21" t="s">
        <v>163</v>
      </c>
      <c r="P23" s="22">
        <v>39.0</v>
      </c>
      <c r="Q23" s="11"/>
      <c r="R23" s="11"/>
      <c r="S23" s="11"/>
      <c r="T23" s="11"/>
      <c r="U23" s="11"/>
      <c r="V23" s="11"/>
    </row>
    <row r="24" ht="33.75" customHeight="1">
      <c r="A24" s="12">
        <v>20.0</v>
      </c>
      <c r="B24" s="13" t="s">
        <v>18</v>
      </c>
      <c r="C24" s="14" t="s">
        <v>164</v>
      </c>
      <c r="D24" s="15" t="s">
        <v>165</v>
      </c>
      <c r="E24" s="30" t="s">
        <v>124</v>
      </c>
      <c r="F24" s="17" t="s">
        <v>22</v>
      </c>
      <c r="G24" s="15" t="s">
        <v>34</v>
      </c>
      <c r="H24" s="18" t="s">
        <v>166</v>
      </c>
      <c r="I24" s="19">
        <v>3.919010001113E13</v>
      </c>
      <c r="J24" s="18" t="s">
        <v>25</v>
      </c>
      <c r="K24" s="26" t="s">
        <v>26</v>
      </c>
      <c r="L24" s="18" t="s">
        <v>167</v>
      </c>
      <c r="M24" s="18">
        <v>5.64299145996E11</v>
      </c>
      <c r="N24" s="18" t="s">
        <v>168</v>
      </c>
      <c r="O24" s="21" t="s">
        <v>169</v>
      </c>
      <c r="P24" s="22">
        <v>42.0</v>
      </c>
      <c r="Q24" s="11"/>
      <c r="R24" s="11"/>
      <c r="S24" s="11"/>
      <c r="T24" s="11"/>
      <c r="U24" s="11"/>
      <c r="V24" s="11"/>
    </row>
    <row r="25" ht="33.75" customHeight="1">
      <c r="A25" s="12">
        <v>21.0</v>
      </c>
      <c r="B25" s="13" t="s">
        <v>18</v>
      </c>
      <c r="C25" s="14" t="s">
        <v>170</v>
      </c>
      <c r="D25" s="15" t="s">
        <v>171</v>
      </c>
      <c r="E25" s="16" t="s">
        <v>124</v>
      </c>
      <c r="F25" s="17" t="s">
        <v>33</v>
      </c>
      <c r="G25" s="15" t="s">
        <v>172</v>
      </c>
      <c r="H25" s="18" t="s">
        <v>173</v>
      </c>
      <c r="I25" s="19">
        <v>2.210100026744E12</v>
      </c>
      <c r="J25" s="18" t="s">
        <v>25</v>
      </c>
      <c r="K25" s="20" t="s">
        <v>101</v>
      </c>
      <c r="L25" s="18" t="s">
        <v>174</v>
      </c>
      <c r="M25" s="18">
        <v>2.42758381483E11</v>
      </c>
      <c r="N25" s="18" t="s">
        <v>175</v>
      </c>
      <c r="O25" s="21" t="s">
        <v>176</v>
      </c>
      <c r="P25" s="22">
        <f t="shared" ref="P25:P26" si="4">YEARFRAC(O25,TODAY())</f>
        <v>32.38611111</v>
      </c>
      <c r="Q25" s="11"/>
      <c r="R25" s="11"/>
      <c r="S25" s="11"/>
      <c r="T25" s="11"/>
      <c r="U25" s="11"/>
      <c r="V25" s="11"/>
    </row>
    <row r="26" ht="33.75" customHeight="1">
      <c r="A26" s="12">
        <v>22.0</v>
      </c>
      <c r="B26" s="13" t="s">
        <v>18</v>
      </c>
      <c r="C26" s="14" t="s">
        <v>177</v>
      </c>
      <c r="D26" s="15" t="s">
        <v>178</v>
      </c>
      <c r="E26" s="16" t="s">
        <v>124</v>
      </c>
      <c r="F26" s="17" t="s">
        <v>33</v>
      </c>
      <c r="G26" s="15" t="s">
        <v>179</v>
      </c>
      <c r="H26" s="18" t="s">
        <v>180</v>
      </c>
      <c r="I26" s="19">
        <v>2.210100046051E12</v>
      </c>
      <c r="J26" s="18" t="s">
        <v>25</v>
      </c>
      <c r="K26" s="20" t="s">
        <v>101</v>
      </c>
      <c r="L26" s="18" t="s">
        <v>181</v>
      </c>
      <c r="M26" s="18">
        <v>6.04270991498E11</v>
      </c>
      <c r="N26" s="18" t="s">
        <v>182</v>
      </c>
      <c r="O26" s="31" t="s">
        <v>183</v>
      </c>
      <c r="P26" s="22">
        <f t="shared" si="4"/>
        <v>34.15833333</v>
      </c>
      <c r="Q26" s="11"/>
      <c r="R26" s="11"/>
      <c r="S26" s="11"/>
      <c r="T26" s="11"/>
      <c r="U26" s="11"/>
      <c r="V26" s="11"/>
    </row>
    <row r="27" ht="33.75" customHeight="1">
      <c r="A27" s="12">
        <v>23.0</v>
      </c>
      <c r="B27" s="13" t="s">
        <v>18</v>
      </c>
      <c r="C27" s="14" t="s">
        <v>184</v>
      </c>
      <c r="D27" s="15" t="s">
        <v>185</v>
      </c>
      <c r="E27" s="16" t="s">
        <v>124</v>
      </c>
      <c r="F27" s="17" t="s">
        <v>22</v>
      </c>
      <c r="G27" s="15" t="s">
        <v>186</v>
      </c>
      <c r="H27" s="18" t="s">
        <v>187</v>
      </c>
      <c r="I27" s="19">
        <v>2.11010001352E12</v>
      </c>
      <c r="J27" s="18" t="s">
        <v>25</v>
      </c>
      <c r="K27" s="20" t="s">
        <v>188</v>
      </c>
      <c r="L27" s="18" t="s">
        <v>189</v>
      </c>
      <c r="M27" s="18" t="s">
        <v>190</v>
      </c>
      <c r="N27" s="18" t="s">
        <v>191</v>
      </c>
      <c r="O27" s="31" t="s">
        <v>192</v>
      </c>
      <c r="P27" s="22">
        <v>32.0</v>
      </c>
      <c r="Q27" s="11"/>
      <c r="R27" s="11"/>
      <c r="S27" s="11"/>
      <c r="T27" s="11"/>
      <c r="U27" s="11"/>
      <c r="V27" s="11"/>
    </row>
    <row r="28" ht="33.75" customHeight="1">
      <c r="A28" s="12">
        <v>24.0</v>
      </c>
      <c r="B28" s="13" t="s">
        <v>18</v>
      </c>
      <c r="C28" s="14" t="s">
        <v>193</v>
      </c>
      <c r="D28" s="15" t="s">
        <v>194</v>
      </c>
      <c r="E28" s="16" t="s">
        <v>195</v>
      </c>
      <c r="F28" s="17" t="s">
        <v>22</v>
      </c>
      <c r="G28" s="15" t="s">
        <v>116</v>
      </c>
      <c r="H28" s="18" t="s">
        <v>196</v>
      </c>
      <c r="I28" s="19">
        <v>2.240100004649E12</v>
      </c>
      <c r="J28" s="18" t="s">
        <v>25</v>
      </c>
      <c r="K28" s="26" t="s">
        <v>26</v>
      </c>
      <c r="L28" s="18" t="s">
        <v>197</v>
      </c>
      <c r="M28" s="18">
        <v>3.9385557345E11</v>
      </c>
      <c r="N28" s="18" t="s">
        <v>198</v>
      </c>
      <c r="O28" s="21" t="s">
        <v>199</v>
      </c>
      <c r="P28" s="22">
        <f>YEARFRAC(O28,TODAY())</f>
        <v>48.23611111</v>
      </c>
      <c r="Q28" s="11"/>
      <c r="R28" s="11"/>
      <c r="S28" s="11"/>
      <c r="T28" s="11"/>
      <c r="U28" s="11"/>
      <c r="V28" s="11"/>
    </row>
    <row r="29" ht="33.75" customHeight="1">
      <c r="A29" s="12">
        <v>25.0</v>
      </c>
      <c r="B29" s="13" t="s">
        <v>18</v>
      </c>
      <c r="C29" s="14" t="s">
        <v>200</v>
      </c>
      <c r="D29" s="15" t="s">
        <v>201</v>
      </c>
      <c r="E29" s="16" t="s">
        <v>202</v>
      </c>
      <c r="F29" s="17" t="s">
        <v>22</v>
      </c>
      <c r="G29" s="15" t="s">
        <v>203</v>
      </c>
      <c r="H29" s="18" t="s">
        <v>204</v>
      </c>
      <c r="I29" s="19">
        <v>3.9190100000201E13</v>
      </c>
      <c r="J29" s="18" t="s">
        <v>25</v>
      </c>
      <c r="K29" s="26" t="s">
        <v>26</v>
      </c>
      <c r="L29" s="18" t="s">
        <v>205</v>
      </c>
      <c r="M29" s="18" t="s">
        <v>206</v>
      </c>
      <c r="N29" s="18" t="s">
        <v>207</v>
      </c>
      <c r="O29" s="21" t="s">
        <v>208</v>
      </c>
      <c r="P29" s="22">
        <v>44.0</v>
      </c>
      <c r="Q29" s="11"/>
      <c r="R29" s="11"/>
      <c r="S29" s="11"/>
      <c r="T29" s="11"/>
      <c r="U29" s="11"/>
      <c r="V29" s="11"/>
    </row>
    <row r="30" ht="33.75" customHeight="1">
      <c r="A30" s="32"/>
      <c r="B30" s="33"/>
      <c r="C30" s="34"/>
      <c r="D30" s="35"/>
      <c r="E30" s="36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37"/>
      <c r="Q30" s="11"/>
      <c r="R30" s="11"/>
      <c r="S30" s="11"/>
      <c r="T30" s="11"/>
      <c r="U30" s="11"/>
      <c r="V30" s="11"/>
    </row>
    <row r="31">
      <c r="O31" s="39"/>
    </row>
    <row r="32">
      <c r="O32" s="39"/>
    </row>
    <row r="33">
      <c r="O33" s="39"/>
    </row>
    <row r="34">
      <c r="O34" s="39"/>
    </row>
    <row r="35">
      <c r="O35" s="39"/>
    </row>
    <row r="36">
      <c r="O36" s="39"/>
    </row>
    <row r="37">
      <c r="O37" s="39"/>
    </row>
    <row r="38">
      <c r="O38" s="39"/>
    </row>
  </sheetData>
  <mergeCells count="2">
    <mergeCell ref="A1:P1"/>
    <mergeCell ref="A2:P2"/>
  </mergeCells>
  <dataValidations>
    <dataValidation type="list" allowBlank="1" sqref="K5:K29">
      <formula1>"BARB0NETRAN,BARB0SATBRO,BARB0ANKLES,BARB0JAMBUS,BARB0SELAMB,BARB0KARJAN,BARB0MANSUR"</formula1>
    </dataValidation>
    <dataValidation type="list" allowBlank="1" showDropDown="1" showErrorMessage="1" sqref="F5:F29">
      <formula1>"પુરુષ,સ્ત્રી"</formula1>
    </dataValidation>
    <dataValidation type="custom" allowBlank="1" showDropDown="1" sqref="A5:A29 I5:I29">
      <formula1>AND(ISNUMBER(A5),(NOT(OR(NOT(ISERROR(DATEVALUE(A5))), AND(ISNUMBER(A5), LEFT(CELL("format", A5))="D")))))</formula1>
    </dataValidation>
    <dataValidation type="list" allowBlank="1" showDropDown="1" showErrorMessage="1" sqref="E5:E29">
      <formula1>"આચાર્ય,સુપરવાઇઝર,મા.મ.શિક્ષક,ઉ.મા.મ.શિક્ષક,ગ્રંથપાલ,સેવક"</formula1>
    </dataValidation>
  </dataValidations>
  <drawing r:id="rId1"/>
  <tableParts count="1">
    <tablePart r:id="rId3"/>
  </tableParts>
</worksheet>
</file>